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867683c9977aaa/Desktop/developing/Financial Analysis/banking/"/>
    </mc:Choice>
  </mc:AlternateContent>
  <xr:revisionPtr revIDLastSave="0" documentId="8_{B89A05CC-96E8-489A-9CD7-DF27037DCC5E}" xr6:coauthVersionLast="47" xr6:coauthVersionMax="47" xr10:uidLastSave="{00000000-0000-0000-0000-000000000000}"/>
  <bookViews>
    <workbookView xWindow="3696" yWindow="3456" windowWidth="17280" windowHeight="8880" activeTab="2" xr2:uid="{1615EDD5-9496-40F9-A167-2FF5C29C571A}"/>
  </bookViews>
  <sheets>
    <sheet name="Raw Data" sheetId="1" r:id="rId1"/>
    <sheet name="Calculation_sheet" sheetId="3" r:id="rId2"/>
    <sheet name="Dashboard_shee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H28" i="4"/>
  <c r="H29" i="4"/>
  <c r="H30" i="4"/>
  <c r="H31" i="4"/>
  <c r="H27" i="4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20" i="3"/>
  <c r="E21" i="3"/>
  <c r="D20" i="3"/>
  <c r="D21" i="3"/>
  <c r="C20" i="3"/>
  <c r="C21" i="3"/>
</calcChain>
</file>

<file path=xl/sharedStrings.xml><?xml version="1.0" encoding="utf-8"?>
<sst xmlns="http://schemas.openxmlformats.org/spreadsheetml/2006/main" count="52" uniqueCount="38">
  <si>
    <t>Bank</t>
  </si>
  <si>
    <t>NIM (%)</t>
  </si>
  <si>
    <t>Net NPA (%)</t>
  </si>
  <si>
    <t>ROE (%)</t>
  </si>
  <si>
    <t>CAR (%)</t>
  </si>
  <si>
    <t>CASA (%)</t>
  </si>
  <si>
    <t>ROA (%)</t>
  </si>
  <si>
    <t>Net Profit (₹ Cr)</t>
  </si>
  <si>
    <t>Total Assets (₹ Cr)</t>
  </si>
  <si>
    <t>HDFC Bank</t>
  </si>
  <si>
    <t>ICICI Bank</t>
  </si>
  <si>
    <t>SBI</t>
  </si>
  <si>
    <t>Axis Bank</t>
  </si>
  <si>
    <t>Kotak Bank</t>
  </si>
  <si>
    <t>Metric</t>
  </si>
  <si>
    <t xml:space="preserve">Axis Bank </t>
  </si>
  <si>
    <t>Best</t>
  </si>
  <si>
    <t>Worst</t>
  </si>
  <si>
    <t>Sector Avg</t>
  </si>
  <si>
    <t>Net NPA(%)</t>
  </si>
  <si>
    <t>NET Profit (₹ Cr)</t>
  </si>
  <si>
    <t>Indian Banking Sector Comparison — FY2024</t>
  </si>
  <si>
    <t>SBI Bank</t>
  </si>
  <si>
    <t>OVERALL SCORECARD</t>
  </si>
  <si>
    <t>NIM Rank</t>
  </si>
  <si>
    <t xml:space="preserve"> NPA Rank</t>
  </si>
  <si>
    <t>ROE Rank</t>
  </si>
  <si>
    <t>CAR Rank</t>
  </si>
  <si>
    <t>CASA Rank</t>
  </si>
  <si>
    <t>ROA Rank</t>
  </si>
  <si>
    <t>Overall Score</t>
  </si>
  <si>
    <t xml:space="preserve">SBI </t>
  </si>
  <si>
    <t>AXIS Bank</t>
  </si>
  <si>
    <t>1=best, 5=worst</t>
  </si>
  <si>
    <t>Lower total = better overall performer.</t>
  </si>
  <si>
    <t xml:space="preserve"> Best Overall Performer:</t>
  </si>
  <si>
    <t xml:space="preserve"> Key Insight:</t>
  </si>
  <si>
    <t xml:space="preserve"> Kotak Bank leads on profitability (NIM, ROA) and capital strength (CAR),       while SBI's scale advantage comes with weaker  efficiency metrics — a common trade-off for India's largest PSU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</si>
</sst>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  <font>
      <b/>
      <sz val="12"/>
      <color theme="1"/>
      <name val="Mangal"/>
      <family val="1"/>
      <scheme val="minor"/>
    </font>
    <font>
      <b/>
      <sz val="16"/>
      <color theme="1"/>
      <name val="Mangal"/>
      <family val="1"/>
      <scheme val="minor"/>
    </font>
    <font>
      <b/>
      <sz val="13"/>
      <color theme="1"/>
      <name val="Mangal"/>
      <family val="1"/>
      <scheme val="minor"/>
    </font>
    <font>
      <sz val="12"/>
      <color theme="1"/>
      <name val="Mangal"/>
      <family val="2"/>
      <scheme val="minor"/>
    </font>
    <font>
      <sz val="12"/>
      <color theme="1"/>
      <name val="Mangal"/>
      <family val="1"/>
      <scheme val="minor"/>
    </font>
    <font>
      <b/>
      <sz val="14"/>
      <color theme="1"/>
      <name val="Mangal"/>
      <family val="1"/>
      <scheme val="minor"/>
    </font>
    <font>
      <sz val="16"/>
      <color theme="1"/>
      <name val="Mangal"/>
      <family val="1"/>
      <scheme val="minor"/>
    </font>
    <font>
      <sz val="14"/>
      <color theme="1"/>
      <name val="Mangal"/>
      <family val="2"/>
      <scheme val="minor"/>
    </font>
    <font>
      <b/>
      <sz val="18"/>
      <color theme="1"/>
      <name val="Mangal"/>
      <family val="1"/>
      <scheme val="minor"/>
    </font>
    <font>
      <b/>
      <u/>
      <sz val="18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NIM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Calculation_sheet!$A$3</c:f>
              <c:strCache>
                <c:ptCount val="1"/>
                <c:pt idx="0">
                  <c:v>NIM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Calculation_sheet!$B$2:$F$2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Axis Bank </c:v>
                </c:pt>
                <c:pt idx="4">
                  <c:v>Kotak Bank</c:v>
                </c:pt>
              </c:strCache>
            </c:strRef>
          </c:cat>
          <c:val>
            <c:numRef>
              <c:f>Calculation_sheet!$B$3:$F$3</c:f>
              <c:numCache>
                <c:formatCode>General</c:formatCode>
                <c:ptCount val="5"/>
                <c:pt idx="0">
                  <c:v>3.46</c:v>
                </c:pt>
                <c:pt idx="1">
                  <c:v>4.53</c:v>
                </c:pt>
                <c:pt idx="2">
                  <c:v>3.37</c:v>
                </c:pt>
                <c:pt idx="3">
                  <c:v>4.1100000000000003</c:v>
                </c:pt>
                <c:pt idx="4">
                  <c:v>5.22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1-4373-9F07-F0D795D803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9417968"/>
        <c:axId val="469418328"/>
      </c:barChart>
      <c:catAx>
        <c:axId val="4694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69418328"/>
        <c:crosses val="autoZero"/>
        <c:auto val="1"/>
        <c:lblAlgn val="ctr"/>
        <c:lblOffset val="100"/>
        <c:noMultiLvlLbl val="0"/>
      </c:catAx>
      <c:valAx>
        <c:axId val="46941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6941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NPA(%)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7.7219816272965883E-2"/>
          <c:y val="0.17171296296296298"/>
          <c:w val="0.8922246281714785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Calculation_sheet!$A$4</c:f>
              <c:strCache>
                <c:ptCount val="1"/>
                <c:pt idx="0">
                  <c:v>Net NPA(%)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Calculation_sheet!$B$2:$F$2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Axis Bank </c:v>
                </c:pt>
                <c:pt idx="4">
                  <c:v>Kotak Bank</c:v>
                </c:pt>
              </c:strCache>
            </c:strRef>
          </c:cat>
          <c:val>
            <c:numRef>
              <c:f>Calculation_sheet!$B$4:$F$4</c:f>
              <c:numCache>
                <c:formatCode>General</c:formatCode>
                <c:ptCount val="5"/>
                <c:pt idx="0">
                  <c:v>0.33</c:v>
                </c:pt>
                <c:pt idx="1">
                  <c:v>0.42</c:v>
                </c:pt>
                <c:pt idx="2">
                  <c:v>0.56999999999999995</c:v>
                </c:pt>
                <c:pt idx="3">
                  <c:v>0.36</c:v>
                </c:pt>
                <c:pt idx="4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1-4A98-BAC2-F5323A43EF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8146616"/>
        <c:axId val="578148416"/>
      </c:barChart>
      <c:catAx>
        <c:axId val="57814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78148416"/>
        <c:crosses val="autoZero"/>
        <c:auto val="1"/>
        <c:lblAlgn val="ctr"/>
        <c:lblOffset val="100"/>
        <c:noMultiLvlLbl val="0"/>
      </c:catAx>
      <c:valAx>
        <c:axId val="5781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57814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ROE vs ROA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Calculation_sheet!$A$5</c:f>
              <c:strCache>
                <c:ptCount val="1"/>
                <c:pt idx="0">
                  <c:v>ROE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Calculation_sheet!$B$2:$F$2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Axis Bank </c:v>
                </c:pt>
                <c:pt idx="4">
                  <c:v>Kotak Bank</c:v>
                </c:pt>
              </c:strCache>
            </c:strRef>
          </c:cat>
          <c:val>
            <c:numRef>
              <c:f>Calculation_sheet!$B$5:$F$5</c:f>
              <c:numCache>
                <c:formatCode>General</c:formatCode>
                <c:ptCount val="5"/>
                <c:pt idx="0">
                  <c:v>17</c:v>
                </c:pt>
                <c:pt idx="1">
                  <c:v>18.8</c:v>
                </c:pt>
                <c:pt idx="2">
                  <c:v>20.3</c:v>
                </c:pt>
                <c:pt idx="3">
                  <c:v>18.100000000000001</c:v>
                </c:pt>
                <c:pt idx="4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4-4D2A-B6B0-E28C944FEB64}"/>
            </c:ext>
          </c:extLst>
        </c:ser>
        <c:ser>
          <c:idx val="1"/>
          <c:order val="1"/>
          <c:tx>
            <c:strRef>
              <c:f>Calculation_sheet!$A$8</c:f>
              <c:strCache>
                <c:ptCount val="1"/>
                <c:pt idx="0">
                  <c:v>ROA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Calculation_sheet!$B$2:$F$2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Axis Bank </c:v>
                </c:pt>
                <c:pt idx="4">
                  <c:v>Kotak Bank</c:v>
                </c:pt>
              </c:strCache>
            </c:strRef>
          </c:cat>
          <c:val>
            <c:numRef>
              <c:f>Calculation_sheet!$B$8:$F$8</c:f>
              <c:numCache>
                <c:formatCode>General</c:formatCode>
                <c:ptCount val="5"/>
                <c:pt idx="0">
                  <c:v>1.98</c:v>
                </c:pt>
                <c:pt idx="1">
                  <c:v>2.35</c:v>
                </c:pt>
                <c:pt idx="2">
                  <c:v>1.04</c:v>
                </c:pt>
                <c:pt idx="3">
                  <c:v>1.81</c:v>
                </c:pt>
                <c:pt idx="4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4-4D2A-B6B0-E28C944FEB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335016"/>
        <c:axId val="460338976"/>
      </c:barChart>
      <c:catAx>
        <c:axId val="46033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60338976"/>
        <c:crosses val="autoZero"/>
        <c:auto val="1"/>
        <c:lblAlgn val="ctr"/>
        <c:lblOffset val="100"/>
        <c:noMultiLvlLbl val="0"/>
      </c:catAx>
      <c:valAx>
        <c:axId val="4603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6033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Calculation_sheet!$A$7</c:f>
              <c:strCache>
                <c:ptCount val="1"/>
                <c:pt idx="0">
                  <c:v>CASA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Calculation_sheet!$B$2:$F$2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SBI Bank</c:v>
                </c:pt>
                <c:pt idx="3">
                  <c:v>Axis Bank </c:v>
                </c:pt>
                <c:pt idx="4">
                  <c:v>Kotak Bank</c:v>
                </c:pt>
              </c:strCache>
            </c:strRef>
          </c:cat>
          <c:val>
            <c:numRef>
              <c:f>Calculation_sheet!$B$7:$F$7</c:f>
              <c:numCache>
                <c:formatCode>General</c:formatCode>
                <c:ptCount val="5"/>
                <c:pt idx="0">
                  <c:v>38.200000000000003</c:v>
                </c:pt>
                <c:pt idx="1">
                  <c:v>45.6</c:v>
                </c:pt>
                <c:pt idx="2">
                  <c:v>41.9</c:v>
                </c:pt>
                <c:pt idx="3">
                  <c:v>43.8</c:v>
                </c:pt>
                <c:pt idx="4">
                  <c:v>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D14-9DE4-8D48BF7B3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69698416"/>
        <c:axId val="369704176"/>
      </c:barChart>
      <c:catAx>
        <c:axId val="3696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69704176"/>
        <c:crosses val="autoZero"/>
        <c:auto val="1"/>
        <c:lblAlgn val="ctr"/>
        <c:lblOffset val="100"/>
        <c:noMultiLvlLbl val="0"/>
      </c:catAx>
      <c:valAx>
        <c:axId val="369704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96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425822</xdr:rowOff>
    </xdr:from>
    <xdr:to>
      <xdr:col>14</xdr:col>
      <xdr:colOff>661147</xdr:colOff>
      <xdr:row>10</xdr:row>
      <xdr:rowOff>8963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3A641B-0AA2-4486-8B9E-3291904A4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11203</xdr:rowOff>
    </xdr:from>
    <xdr:to>
      <xdr:col>6</xdr:col>
      <xdr:colOff>224117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3EBF53-12C3-4389-92F1-990D43C24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3734</xdr:rowOff>
    </xdr:from>
    <xdr:to>
      <xdr:col>6</xdr:col>
      <xdr:colOff>164353</xdr:colOff>
      <xdr:row>19</xdr:row>
      <xdr:rowOff>283884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54F68FC-1794-4C7E-9A28-9F71E12FA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896470</xdr:colOff>
      <xdr:row>11</xdr:row>
      <xdr:rowOff>3733</xdr:rowOff>
    </xdr:from>
    <xdr:to>
      <xdr:col>15</xdr:col>
      <xdr:colOff>22412</xdr:colOff>
      <xdr:row>20</xdr:row>
      <xdr:rowOff>20169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60F3C4-5675-488C-B5E1-0B5A5A789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8770-CFB2-42BE-A016-A54B468F5A36}">
  <dimension ref="A1:I6"/>
  <sheetViews>
    <sheetView zoomScale="77" workbookViewId="0">
      <selection activeCell="D7" sqref="D7"/>
    </sheetView>
  </sheetViews>
  <sheetFormatPr defaultRowHeight="24" x14ac:dyDescent="0.8"/>
  <cols>
    <col min="1" max="1" width="11.59765625" customWidth="1"/>
    <col min="2" max="2" width="10.5" customWidth="1"/>
    <col min="3" max="3" width="13.19921875" customWidth="1"/>
    <col min="4" max="4" width="10.5" customWidth="1"/>
    <col min="5" max="5" width="9.59765625" customWidth="1"/>
    <col min="6" max="6" width="10.5" customWidth="1"/>
    <col min="7" max="7" width="11.296875" customWidth="1"/>
    <col min="8" max="8" width="19" customWidth="1"/>
    <col min="9" max="9" width="20.69921875" customWidth="1"/>
  </cols>
  <sheetData>
    <row r="1" spans="1:9" ht="25.8" x14ac:dyDescent="0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8">
      <c r="A2" s="1" t="s">
        <v>9</v>
      </c>
      <c r="B2">
        <v>3.46</v>
      </c>
      <c r="C2">
        <v>0.33</v>
      </c>
      <c r="D2">
        <v>17</v>
      </c>
      <c r="E2">
        <v>18.8</v>
      </c>
      <c r="F2">
        <v>38.200000000000003</v>
      </c>
      <c r="G2">
        <v>1.98</v>
      </c>
      <c r="H2">
        <v>64062</v>
      </c>
      <c r="I2">
        <v>3744170</v>
      </c>
    </row>
    <row r="3" spans="1:9" x14ac:dyDescent="0.8">
      <c r="A3" s="1" t="s">
        <v>10</v>
      </c>
      <c r="B3">
        <v>4.53</v>
      </c>
      <c r="C3">
        <v>0.42</v>
      </c>
      <c r="D3">
        <v>18.8</v>
      </c>
      <c r="E3">
        <v>16.600000000000001</v>
      </c>
      <c r="F3">
        <v>45.6</v>
      </c>
      <c r="G3">
        <v>2.35</v>
      </c>
      <c r="H3">
        <v>40888</v>
      </c>
      <c r="I3">
        <v>2284277</v>
      </c>
    </row>
    <row r="4" spans="1:9" x14ac:dyDescent="0.8">
      <c r="A4" s="1" t="s">
        <v>11</v>
      </c>
      <c r="B4">
        <v>3.37</v>
      </c>
      <c r="C4">
        <v>0.56999999999999995</v>
      </c>
      <c r="D4">
        <v>20.3</v>
      </c>
      <c r="E4">
        <v>14.3</v>
      </c>
      <c r="F4">
        <v>41.9</v>
      </c>
      <c r="G4">
        <v>1.04</v>
      </c>
      <c r="H4">
        <v>61077</v>
      </c>
      <c r="I4">
        <v>6197129</v>
      </c>
    </row>
    <row r="5" spans="1:9" x14ac:dyDescent="0.8">
      <c r="A5" s="1" t="s">
        <v>12</v>
      </c>
      <c r="B5">
        <v>4.1100000000000003</v>
      </c>
      <c r="C5">
        <v>0.36</v>
      </c>
      <c r="D5">
        <v>18.100000000000001</v>
      </c>
      <c r="E5">
        <v>16.600000000000001</v>
      </c>
      <c r="F5">
        <v>43.8</v>
      </c>
      <c r="G5">
        <v>1.81</v>
      </c>
      <c r="H5">
        <v>26248</v>
      </c>
      <c r="I5">
        <v>1508491</v>
      </c>
    </row>
    <row r="6" spans="1:9" x14ac:dyDescent="0.8">
      <c r="A6" s="1" t="s">
        <v>13</v>
      </c>
      <c r="B6">
        <v>5.22</v>
      </c>
      <c r="C6">
        <v>0.34</v>
      </c>
      <c r="D6">
        <v>14.9</v>
      </c>
      <c r="E6">
        <v>21.8</v>
      </c>
      <c r="F6">
        <v>47.6</v>
      </c>
      <c r="G6">
        <v>2.59</v>
      </c>
      <c r="H6">
        <v>13782</v>
      </c>
      <c r="I6">
        <v>593853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6D36-DB41-4C83-9C99-8128AB3DA1D0}">
  <dimension ref="A1:F21"/>
  <sheetViews>
    <sheetView zoomScale="82" workbookViewId="0">
      <selection activeCell="C14" sqref="C14"/>
    </sheetView>
  </sheetViews>
  <sheetFormatPr defaultRowHeight="24" x14ac:dyDescent="0.8"/>
  <cols>
    <col min="1" max="1" width="18.19921875" customWidth="1"/>
    <col min="2" max="2" width="12.3984375" customWidth="1"/>
    <col min="3" max="3" width="10.8984375" bestFit="1" customWidth="1"/>
    <col min="4" max="4" width="11.5" customWidth="1"/>
    <col min="5" max="5" width="11" bestFit="1" customWidth="1"/>
    <col min="6" max="6" width="11.3984375" bestFit="1" customWidth="1"/>
    <col min="7" max="7" width="9.3984375" customWidth="1"/>
    <col min="8" max="8" width="9.69921875" customWidth="1"/>
    <col min="9" max="9" width="11" bestFit="1" customWidth="1"/>
  </cols>
  <sheetData>
    <row r="1" spans="1:6" ht="34.200000000000003" x14ac:dyDescent="1.1000000000000001">
      <c r="A1" s="3" t="s">
        <v>21</v>
      </c>
    </row>
    <row r="2" spans="1:6" x14ac:dyDescent="0.8">
      <c r="A2" s="1" t="s">
        <v>14</v>
      </c>
      <c r="B2" s="1" t="s">
        <v>9</v>
      </c>
      <c r="C2" s="1" t="s">
        <v>10</v>
      </c>
      <c r="D2" s="1" t="s">
        <v>22</v>
      </c>
      <c r="E2" s="1" t="s">
        <v>15</v>
      </c>
      <c r="F2" s="1" t="s">
        <v>13</v>
      </c>
    </row>
    <row r="3" spans="1:6" x14ac:dyDescent="0.8">
      <c r="A3" s="1" t="s">
        <v>1</v>
      </c>
      <c r="B3">
        <v>3.46</v>
      </c>
      <c r="C3">
        <v>4.53</v>
      </c>
      <c r="D3">
        <v>3.37</v>
      </c>
      <c r="E3">
        <v>4.1100000000000003</v>
      </c>
      <c r="F3">
        <v>5.22</v>
      </c>
    </row>
    <row r="4" spans="1:6" x14ac:dyDescent="0.8">
      <c r="A4" s="1" t="s">
        <v>19</v>
      </c>
      <c r="B4">
        <v>0.33</v>
      </c>
      <c r="C4">
        <v>0.42</v>
      </c>
      <c r="D4">
        <v>0.56999999999999995</v>
      </c>
      <c r="E4">
        <v>0.36</v>
      </c>
      <c r="F4">
        <v>0.34</v>
      </c>
    </row>
    <row r="5" spans="1:6" x14ac:dyDescent="0.8">
      <c r="A5" s="1" t="s">
        <v>3</v>
      </c>
      <c r="B5">
        <v>17</v>
      </c>
      <c r="C5">
        <v>18.8</v>
      </c>
      <c r="D5">
        <v>20.3</v>
      </c>
      <c r="E5">
        <v>18.100000000000001</v>
      </c>
      <c r="F5">
        <v>14.9</v>
      </c>
    </row>
    <row r="6" spans="1:6" x14ac:dyDescent="0.8">
      <c r="A6" s="1" t="s">
        <v>4</v>
      </c>
      <c r="B6">
        <v>18.8</v>
      </c>
      <c r="C6">
        <v>16.600000000000001</v>
      </c>
      <c r="D6">
        <v>14.3</v>
      </c>
      <c r="E6">
        <v>16.600000000000001</v>
      </c>
      <c r="F6">
        <v>21.8</v>
      </c>
    </row>
    <row r="7" spans="1:6" x14ac:dyDescent="0.8">
      <c r="A7" s="1" t="s">
        <v>5</v>
      </c>
      <c r="B7">
        <v>38.200000000000003</v>
      </c>
      <c r="C7">
        <v>45.6</v>
      </c>
      <c r="D7">
        <v>41.9</v>
      </c>
      <c r="E7">
        <v>43.8</v>
      </c>
      <c r="F7">
        <v>47.6</v>
      </c>
    </row>
    <row r="8" spans="1:6" x14ac:dyDescent="0.8">
      <c r="A8" s="1" t="s">
        <v>6</v>
      </c>
      <c r="B8">
        <v>1.98</v>
      </c>
      <c r="C8">
        <v>2.35</v>
      </c>
      <c r="D8">
        <v>1.04</v>
      </c>
      <c r="E8">
        <v>1.81</v>
      </c>
      <c r="F8">
        <v>2.59</v>
      </c>
    </row>
    <row r="9" spans="1:6" x14ac:dyDescent="0.8">
      <c r="A9" s="1" t="s">
        <v>20</v>
      </c>
      <c r="B9">
        <v>64062</v>
      </c>
      <c r="C9">
        <v>40888</v>
      </c>
      <c r="D9">
        <v>61077</v>
      </c>
      <c r="E9">
        <v>26248</v>
      </c>
      <c r="F9">
        <v>13782</v>
      </c>
    </row>
    <row r="10" spans="1:6" x14ac:dyDescent="0.8">
      <c r="A10" s="1" t="s">
        <v>8</v>
      </c>
      <c r="B10">
        <v>3744170</v>
      </c>
      <c r="C10">
        <v>2284277</v>
      </c>
      <c r="D10">
        <v>6197129</v>
      </c>
      <c r="E10">
        <v>1508491</v>
      </c>
      <c r="F10">
        <v>593853</v>
      </c>
    </row>
    <row r="13" spans="1:6" x14ac:dyDescent="0.8">
      <c r="C13" s="1" t="s">
        <v>16</v>
      </c>
      <c r="D13" s="1" t="s">
        <v>17</v>
      </c>
      <c r="E13" s="1" t="s">
        <v>18</v>
      </c>
    </row>
    <row r="14" spans="1:6" x14ac:dyDescent="0.8">
      <c r="C14">
        <f>MAX(B3:F3)</f>
        <v>5.22</v>
      </c>
      <c r="D14">
        <f>MIN(B3:F3)</f>
        <v>3.37</v>
      </c>
      <c r="E14">
        <f>AVERAGE(B3:F3)</f>
        <v>4.1379999999999999</v>
      </c>
    </row>
    <row r="15" spans="1:6" x14ac:dyDescent="0.8">
      <c r="C15">
        <f>MIN(B4:F4)</f>
        <v>0.33</v>
      </c>
      <c r="D15">
        <f>MAX(B4:F4)</f>
        <v>0.56999999999999995</v>
      </c>
      <c r="E15">
        <f>AVERAGE(B4:F4)</f>
        <v>0.40399999999999991</v>
      </c>
    </row>
    <row r="16" spans="1:6" x14ac:dyDescent="0.8">
      <c r="C16">
        <f>MAX(B5:F5)</f>
        <v>20.3</v>
      </c>
      <c r="D16">
        <f>MIN(B5:F5)</f>
        <v>14.9</v>
      </c>
      <c r="E16">
        <f>AVERAGE(B5:F5)</f>
        <v>17.82</v>
      </c>
    </row>
    <row r="17" spans="3:5" x14ac:dyDescent="0.8">
      <c r="C17">
        <f>MAX(B6:F6)</f>
        <v>21.8</v>
      </c>
      <c r="D17">
        <f>MIN(B6:F6)</f>
        <v>14.3</v>
      </c>
      <c r="E17">
        <f>AVERAGE(B6:F6)</f>
        <v>17.62</v>
      </c>
    </row>
    <row r="18" spans="3:5" x14ac:dyDescent="0.8">
      <c r="C18">
        <f>MAX(B7:F7)</f>
        <v>47.6</v>
      </c>
      <c r="D18">
        <f>MIN(B7:F7)</f>
        <v>38.200000000000003</v>
      </c>
      <c r="E18">
        <f>AVERAGE(B7:F7)</f>
        <v>43.42</v>
      </c>
    </row>
    <row r="19" spans="3:5" x14ac:dyDescent="0.8">
      <c r="C19">
        <f>MAX(B8:F8)</f>
        <v>2.59</v>
      </c>
      <c r="D19">
        <f>MIN(B8:F8)</f>
        <v>1.04</v>
      </c>
      <c r="E19">
        <f>AVERAGE(B8:F8)</f>
        <v>1.954</v>
      </c>
    </row>
    <row r="20" spans="3:5" x14ac:dyDescent="0.8">
      <c r="C20">
        <f>MAX(B9:F9)</f>
        <v>64062</v>
      </c>
      <c r="D20">
        <f>MIN(B9:F9)</f>
        <v>13782</v>
      </c>
      <c r="E20">
        <f>AVERAGE(B9:F9)</f>
        <v>41211.4</v>
      </c>
    </row>
    <row r="21" spans="3:5" x14ac:dyDescent="0.8">
      <c r="C21">
        <f>MAX(B10:F10)</f>
        <v>6197129</v>
      </c>
      <c r="D21">
        <f>MIN(B10:F10)</f>
        <v>593853</v>
      </c>
      <c r="E21">
        <f>AVERAGE(B10:F10)</f>
        <v>2865584</v>
      </c>
    </row>
  </sheetData>
  <conditionalFormatting sqref="B3:F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F9A1-5B39-4DE9-8F74-8D4F1C614526}">
  <dimension ref="A1:I36"/>
  <sheetViews>
    <sheetView tabSelected="1" zoomScale="61" zoomScaleNormal="40" workbookViewId="0">
      <selection activeCell="G36" sqref="G36"/>
    </sheetView>
  </sheetViews>
  <sheetFormatPr defaultRowHeight="24" x14ac:dyDescent="0.8"/>
  <cols>
    <col min="1" max="1" width="32.796875" customWidth="1"/>
    <col min="2" max="2" width="11.09765625" customWidth="1"/>
    <col min="3" max="3" width="12.296875" bestFit="1" customWidth="1"/>
    <col min="4" max="4" width="11.69921875" customWidth="1"/>
    <col min="5" max="5" width="11.296875" customWidth="1"/>
    <col min="6" max="6" width="12.59765625" customWidth="1"/>
    <col min="7" max="7" width="12" customWidth="1"/>
    <col min="8" max="8" width="13.19921875" customWidth="1"/>
  </cols>
  <sheetData>
    <row r="1" spans="1:1" ht="37.799999999999997" x14ac:dyDescent="1.2">
      <c r="A1" s="11" t="s">
        <v>21</v>
      </c>
    </row>
    <row r="23" spans="1:9" ht="37.799999999999997" x14ac:dyDescent="1.2">
      <c r="A23" s="12" t="s">
        <v>23</v>
      </c>
      <c r="B23" s="6"/>
      <c r="C23" s="6"/>
      <c r="D23" s="6"/>
      <c r="E23" s="6"/>
      <c r="F23" s="6"/>
      <c r="G23" s="6"/>
      <c r="H23" s="6"/>
    </row>
    <row r="24" spans="1:9" ht="35.4" x14ac:dyDescent="1.1499999999999999">
      <c r="A24" s="3" t="s">
        <v>33</v>
      </c>
      <c r="B24" s="9"/>
      <c r="C24" s="9"/>
      <c r="D24" s="3" t="s">
        <v>34</v>
      </c>
      <c r="E24" s="9"/>
      <c r="F24" s="9"/>
      <c r="G24" s="9"/>
      <c r="H24" s="6"/>
    </row>
    <row r="25" spans="1:9" ht="27" x14ac:dyDescent="0.9">
      <c r="A25" s="6"/>
      <c r="B25" s="6"/>
      <c r="C25" s="6"/>
      <c r="D25" s="6"/>
      <c r="E25" s="6"/>
      <c r="F25" s="6"/>
      <c r="G25" s="6"/>
      <c r="H25" s="6"/>
    </row>
    <row r="26" spans="1:9" ht="27" x14ac:dyDescent="0.9">
      <c r="A26" s="2" t="s">
        <v>0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5"/>
    </row>
    <row r="27" spans="1:9" ht="27" x14ac:dyDescent="0.9">
      <c r="A27" s="2" t="s">
        <v>9</v>
      </c>
      <c r="B27" s="6">
        <v>4</v>
      </c>
      <c r="C27" s="6">
        <v>1</v>
      </c>
      <c r="D27" s="6">
        <v>5</v>
      </c>
      <c r="E27" s="6">
        <v>2</v>
      </c>
      <c r="F27" s="6">
        <v>5</v>
      </c>
      <c r="G27" s="6">
        <v>3</v>
      </c>
      <c r="H27" s="7">
        <f>SUM(B27:G27)</f>
        <v>20</v>
      </c>
    </row>
    <row r="28" spans="1:9" ht="27" x14ac:dyDescent="0.9">
      <c r="A28" s="2" t="s">
        <v>10</v>
      </c>
      <c r="B28" s="6">
        <v>2</v>
      </c>
      <c r="C28" s="6">
        <v>3</v>
      </c>
      <c r="D28" s="6">
        <v>2</v>
      </c>
      <c r="E28" s="6">
        <v>4</v>
      </c>
      <c r="F28" s="6">
        <v>3</v>
      </c>
      <c r="G28" s="6">
        <v>2</v>
      </c>
      <c r="H28" s="7">
        <f t="shared" ref="H28:H31" si="0">SUM(B28:G28)</f>
        <v>16</v>
      </c>
    </row>
    <row r="29" spans="1:9" ht="27" x14ac:dyDescent="0.9">
      <c r="A29" s="2" t="s">
        <v>31</v>
      </c>
      <c r="B29" s="6">
        <v>5</v>
      </c>
      <c r="C29" s="6">
        <v>5</v>
      </c>
      <c r="D29" s="6">
        <v>1</v>
      </c>
      <c r="E29" s="6">
        <v>5</v>
      </c>
      <c r="F29" s="6">
        <v>4</v>
      </c>
      <c r="G29" s="6">
        <v>5</v>
      </c>
      <c r="H29" s="7">
        <f t="shared" si="0"/>
        <v>25</v>
      </c>
    </row>
    <row r="30" spans="1:9" ht="27" x14ac:dyDescent="0.9">
      <c r="A30" s="2" t="s">
        <v>32</v>
      </c>
      <c r="B30" s="6">
        <v>3</v>
      </c>
      <c r="C30" s="6">
        <v>2</v>
      </c>
      <c r="D30" s="6">
        <v>3</v>
      </c>
      <c r="E30" s="6">
        <v>4</v>
      </c>
      <c r="F30" s="6">
        <v>2</v>
      </c>
      <c r="G30" s="6">
        <v>4</v>
      </c>
      <c r="H30" s="7">
        <f t="shared" si="0"/>
        <v>18</v>
      </c>
    </row>
    <row r="31" spans="1:9" ht="27" x14ac:dyDescent="0.9">
      <c r="A31" s="2" t="s">
        <v>13</v>
      </c>
      <c r="B31" s="6">
        <v>1</v>
      </c>
      <c r="C31" s="6">
        <v>1</v>
      </c>
      <c r="D31" s="6">
        <v>4</v>
      </c>
      <c r="E31" s="6">
        <v>1</v>
      </c>
      <c r="F31" s="6">
        <v>1</v>
      </c>
      <c r="G31" s="6">
        <v>1</v>
      </c>
      <c r="H31" s="7">
        <f t="shared" si="0"/>
        <v>9</v>
      </c>
    </row>
    <row r="33" spans="1:2" ht="27.6" x14ac:dyDescent="0.9">
      <c r="A33" s="4" t="s">
        <v>35</v>
      </c>
      <c r="B33" s="4" t="str">
        <f>INDEX(A27:A31, MATCH(MIN(H27:H31), H27:H31, 0))</f>
        <v>Kotak Bank</v>
      </c>
    </row>
    <row r="35" spans="1:2" ht="29.4" x14ac:dyDescent="0.95">
      <c r="A35" s="8" t="s">
        <v>36</v>
      </c>
    </row>
    <row r="36" spans="1:2" ht="275.39999999999998" x14ac:dyDescent="1">
      <c r="A36" s="10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Calculation_sheet</vt:lpstr>
      <vt:lpstr>Dashboard_sheet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sable</dc:creator>
  <cp:lastModifiedBy>atharv sable</cp:lastModifiedBy>
  <dcterms:created xsi:type="dcterms:W3CDTF">2026-06-16T13:14:26Z</dcterms:created>
  <dcterms:modified xsi:type="dcterms:W3CDTF">2026-06-22T11:23:09Z</dcterms:modified>
</cp:coreProperties>
</file>